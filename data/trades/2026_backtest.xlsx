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StatArb\data\trades\"/>
    </mc:Choice>
  </mc:AlternateContent>
  <bookViews>
    <workbookView xWindow="0" yWindow="0" windowWidth="19200" windowHeight="8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1" l="1"/>
  <c r="J26" i="1"/>
  <c r="M3" i="1"/>
  <c r="N3" i="1" s="1"/>
  <c r="O3" i="1" s="1"/>
  <c r="M4" i="1"/>
  <c r="M5" i="1"/>
  <c r="N5" i="1" s="1"/>
  <c r="O5" i="1" s="1"/>
  <c r="M6" i="1"/>
  <c r="M7" i="1"/>
  <c r="N7" i="1" s="1"/>
  <c r="O7" i="1" s="1"/>
  <c r="M8" i="1"/>
  <c r="M9" i="1"/>
  <c r="M10" i="1"/>
  <c r="M11" i="1"/>
  <c r="N11" i="1" s="1"/>
  <c r="O11" i="1" s="1"/>
  <c r="M12" i="1"/>
  <c r="N12" i="1" s="1"/>
  <c r="O12" i="1" s="1"/>
  <c r="M13" i="1"/>
  <c r="M14" i="1"/>
  <c r="M15" i="1"/>
  <c r="M16" i="1"/>
  <c r="M17" i="1"/>
  <c r="M18" i="1"/>
  <c r="M19" i="1"/>
  <c r="N19" i="1" s="1"/>
  <c r="O19" i="1" s="1"/>
  <c r="M20" i="1"/>
  <c r="M21" i="1"/>
  <c r="M22" i="1"/>
  <c r="N22" i="1" s="1"/>
  <c r="O22" i="1" s="1"/>
  <c r="M23" i="1"/>
  <c r="N23" i="1" s="1"/>
  <c r="O23" i="1" s="1"/>
  <c r="M24" i="1"/>
  <c r="N24" i="1" s="1"/>
  <c r="O24" i="1" s="1"/>
  <c r="M25" i="1"/>
  <c r="N25" i="1" s="1"/>
  <c r="O25" i="1" s="1"/>
  <c r="M26" i="1"/>
  <c r="N26" i="1" s="1"/>
  <c r="O26" i="1" s="1"/>
  <c r="M27" i="1"/>
  <c r="N27" i="1" s="1"/>
  <c r="O27" i="1" s="1"/>
  <c r="M28" i="1"/>
  <c r="N28" i="1" s="1"/>
  <c r="O28" i="1" s="1"/>
  <c r="M2" i="1"/>
  <c r="N2" i="1" s="1"/>
  <c r="O2" i="1" s="1"/>
  <c r="J3" i="1"/>
  <c r="J4" i="1"/>
  <c r="N4" i="1" s="1"/>
  <c r="O4" i="1" s="1"/>
  <c r="J5" i="1"/>
  <c r="J6" i="1"/>
  <c r="N6" i="1" s="1"/>
  <c r="O6" i="1" s="1"/>
  <c r="J7" i="1"/>
  <c r="J8" i="1"/>
  <c r="N8" i="1" s="1"/>
  <c r="O8" i="1" s="1"/>
  <c r="J9" i="1"/>
  <c r="J10" i="1"/>
  <c r="N10" i="1" s="1"/>
  <c r="O10" i="1" s="1"/>
  <c r="J11" i="1"/>
  <c r="J12" i="1"/>
  <c r="J13" i="1"/>
  <c r="J14" i="1"/>
  <c r="N14" i="1" s="1"/>
  <c r="O14" i="1" s="1"/>
  <c r="J15" i="1"/>
  <c r="J16" i="1"/>
  <c r="J17" i="1"/>
  <c r="J18" i="1"/>
  <c r="N18" i="1" s="1"/>
  <c r="O18" i="1" s="1"/>
  <c r="J19" i="1"/>
  <c r="J20" i="1"/>
  <c r="N20" i="1" s="1"/>
  <c r="O20" i="1" s="1"/>
  <c r="J21" i="1"/>
  <c r="J22" i="1"/>
  <c r="J23" i="1"/>
  <c r="J24" i="1"/>
  <c r="J27" i="1"/>
  <c r="J28" i="1"/>
  <c r="J2" i="1"/>
  <c r="N17" i="1" l="1"/>
  <c r="O17" i="1" s="1"/>
  <c r="N13" i="1"/>
  <c r="O13" i="1" s="1"/>
  <c r="N21" i="1"/>
  <c r="O21" i="1" s="1"/>
  <c r="N15" i="1"/>
  <c r="O15" i="1" s="1"/>
  <c r="N16" i="1"/>
  <c r="O16" i="1" s="1"/>
  <c r="N9" i="1"/>
  <c r="O9" i="1" s="1"/>
</calcChain>
</file>

<file path=xl/sharedStrings.xml><?xml version="1.0" encoding="utf-8"?>
<sst xmlns="http://schemas.openxmlformats.org/spreadsheetml/2006/main" count="82" uniqueCount="49">
  <si>
    <t>Asset_Y</t>
  </si>
  <si>
    <t>Asset_X</t>
  </si>
  <si>
    <t>Hedge_Ratio</t>
  </si>
  <si>
    <t>ADANIPORTS.NS</t>
  </si>
  <si>
    <t>CIPLA.NS</t>
  </si>
  <si>
    <t>GRASIM.NS</t>
  </si>
  <si>
    <t>HINDALCO.NS</t>
  </si>
  <si>
    <t>APOLLOHOSP.NS</t>
  </si>
  <si>
    <t>HCLTECH.NS</t>
  </si>
  <si>
    <t>TITAN.NS</t>
  </si>
  <si>
    <t>BAJAJFINSV.NS</t>
  </si>
  <si>
    <t>HDFCBANK.NS</t>
  </si>
  <si>
    <t>KOTAKBANK.NS</t>
  </si>
  <si>
    <t>BAJFINANCE.NS</t>
  </si>
  <si>
    <t>DRREDDY.NS</t>
  </si>
  <si>
    <t>NESTLEIND.NS</t>
  </si>
  <si>
    <t>RELIANCE.NS</t>
  </si>
  <si>
    <t>EICHERMOT.NS</t>
  </si>
  <si>
    <t>MARUTI.NS</t>
  </si>
  <si>
    <t>ICICIBANK.NS</t>
  </si>
  <si>
    <t>SBILIFE.NS</t>
  </si>
  <si>
    <t>TECHM.NS</t>
  </si>
  <si>
    <t>JSWSTEEL.NS</t>
  </si>
  <si>
    <t>Date</t>
  </si>
  <si>
    <t>Z_Score</t>
  </si>
  <si>
    <t>Signal</t>
  </si>
  <si>
    <t>SHORT</t>
  </si>
  <si>
    <t>Entry_Y</t>
  </si>
  <si>
    <t>Exit_X</t>
  </si>
  <si>
    <t>Entry_X</t>
  </si>
  <si>
    <t>Exit_Y</t>
  </si>
  <si>
    <t>Position</t>
  </si>
  <si>
    <t>LONG</t>
  </si>
  <si>
    <t>Entry_Cost</t>
  </si>
  <si>
    <t>Exit_Cost</t>
  </si>
  <si>
    <t>PnL</t>
  </si>
  <si>
    <t>Return_%</t>
  </si>
  <si>
    <t>Entry_Cost_Fut</t>
  </si>
  <si>
    <t>Exit_Cost_Fut</t>
  </si>
  <si>
    <t>PnL_Fut</t>
  </si>
  <si>
    <t>Return_%_Fut</t>
  </si>
  <si>
    <t>Entry_YFut</t>
  </si>
  <si>
    <t>Entry_XFut</t>
  </si>
  <si>
    <t>Y_Opt</t>
  </si>
  <si>
    <t>X_Opt</t>
  </si>
  <si>
    <t>Exit_YFut</t>
  </si>
  <si>
    <t>Exit_XFut</t>
  </si>
  <si>
    <t>ExitY_Opt</t>
  </si>
  <si>
    <t>ExitX_Opt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</si>
</sst>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Views>
    <sheetView tabSelected="1" zoomScaleNormal="100" workbookViewId="0">
      <selection activeCell="H25" sqref="H25"/>
    </sheetView>
  </sheetViews>
  <sheetFormatPr defaultRowHeight="14.5" x14ac:dyDescent="0.35"/>
  <cols>
    <col min="1" max="1" width="16.26953125" customWidth="1"/>
    <col min="2" max="2" width="15.1796875" customWidth="1"/>
    <col min="3" max="3" width="11.54296875" customWidth="1"/>
    <col min="4" max="4" width="10.08984375" bestFit="1" customWidth="1"/>
    <col min="5" max="5" width="10.7265625" customWidth="1"/>
    <col min="6" max="7" width="10.81640625" customWidth="1"/>
    <col min="10" max="10" width="10.26953125" customWidth="1"/>
    <col min="16" max="16" width="11.453125" customWidth="1"/>
    <col min="17" max="19" width="11.90625" customWidth="1"/>
    <col min="20" max="20" width="13.6328125" customWidth="1"/>
    <col min="21" max="21" width="10.08984375" customWidth="1"/>
    <col min="22" max="24" width="10.6328125" customWidth="1"/>
    <col min="25" max="25" width="12.90625" customWidth="1"/>
    <col min="26" max="26" width="8.6328125" customWidth="1"/>
    <col min="27" max="27" width="12.90625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23</v>
      </c>
      <c r="E1" t="s">
        <v>24</v>
      </c>
      <c r="F1" t="s">
        <v>25</v>
      </c>
      <c r="G1" t="s">
        <v>31</v>
      </c>
      <c r="H1" t="s">
        <v>27</v>
      </c>
      <c r="I1" t="s">
        <v>29</v>
      </c>
      <c r="J1" t="s">
        <v>33</v>
      </c>
      <c r="K1" t="s">
        <v>30</v>
      </c>
      <c r="L1" t="s">
        <v>28</v>
      </c>
      <c r="M1" t="s">
        <v>34</v>
      </c>
      <c r="N1" t="s">
        <v>35</v>
      </c>
      <c r="O1" t="s">
        <v>36</v>
      </c>
      <c r="P1" t="s">
        <v>41</v>
      </c>
      <c r="Q1" t="s">
        <v>42</v>
      </c>
      <c r="R1" t="s">
        <v>43</v>
      </c>
      <c r="S1" t="s">
        <v>44</v>
      </c>
      <c r="T1" t="s">
        <v>37</v>
      </c>
      <c r="U1" t="s">
        <v>45</v>
      </c>
      <c r="V1" t="s">
        <v>46</v>
      </c>
      <c r="W1" t="s">
        <v>47</v>
      </c>
      <c r="X1" t="s">
        <v>48</v>
      </c>
      <c r="Y1" t="s">
        <v>38</v>
      </c>
      <c r="Z1" t="s">
        <v>39</v>
      </c>
      <c r="AA1" t="s">
        <v>40</v>
      </c>
    </row>
    <row r="2" spans="1:27" s="2" customFormat="1" x14ac:dyDescent="0.35">
      <c r="A2" s="2" t="s">
        <v>3</v>
      </c>
      <c r="B2" s="2" t="s">
        <v>4</v>
      </c>
      <c r="C2" s="2">
        <v>1.22</v>
      </c>
      <c r="D2" s="3">
        <v>46043</v>
      </c>
      <c r="E2" s="2">
        <v>2.1410983951101801</v>
      </c>
      <c r="F2" s="2" t="s">
        <v>26</v>
      </c>
      <c r="G2" s="2">
        <v>-1</v>
      </c>
      <c r="H2" s="2">
        <v>1400</v>
      </c>
      <c r="I2" s="2">
        <v>1381.2</v>
      </c>
      <c r="J2" s="2">
        <f>(H2-(C2*I2))*G2</f>
        <v>285.06400000000008</v>
      </c>
      <c r="K2" s="2">
        <v>1417</v>
      </c>
      <c r="L2" s="2">
        <v>1372.2</v>
      </c>
      <c r="M2" s="2">
        <f>(K2-(C2*L2))*G2</f>
        <v>257.08400000000006</v>
      </c>
      <c r="N2" s="2">
        <f>M2-J2</f>
        <v>-27.980000000000018</v>
      </c>
      <c r="O2" s="2">
        <f>(N2/J2)*100</f>
        <v>-9.8153397131872175</v>
      </c>
      <c r="P2" s="2">
        <v>670000</v>
      </c>
      <c r="Q2" s="2">
        <v>518500</v>
      </c>
      <c r="R2" s="2">
        <v>20852.5</v>
      </c>
      <c r="S2" s="2">
        <v>5081.25</v>
      </c>
      <c r="T2" s="2">
        <v>130000</v>
      </c>
      <c r="U2" s="2">
        <v>683380</v>
      </c>
      <c r="V2" s="2">
        <v>519500</v>
      </c>
      <c r="W2" s="2">
        <v>25175</v>
      </c>
      <c r="X2" s="2">
        <v>4837.5</v>
      </c>
    </row>
    <row r="3" spans="1:27" x14ac:dyDescent="0.35">
      <c r="A3" t="s">
        <v>3</v>
      </c>
      <c r="B3" t="s">
        <v>5</v>
      </c>
      <c r="C3">
        <v>1.04</v>
      </c>
      <c r="J3" s="2">
        <f t="shared" ref="J3:J28" si="0">(H3-(C3*I3))*G3</f>
        <v>0</v>
      </c>
      <c r="M3" s="2">
        <f t="shared" ref="M3:M28" si="1">(K3-(C3*L3))*G3</f>
        <v>0</v>
      </c>
      <c r="N3" s="2">
        <f t="shared" ref="N3:N28" si="2">M3-J3</f>
        <v>0</v>
      </c>
      <c r="O3" s="2" t="e">
        <f t="shared" ref="O3:O28" si="3">(N3/J3)*100</f>
        <v>#DIV/0!</v>
      </c>
    </row>
    <row r="4" spans="1:27" x14ac:dyDescent="0.35">
      <c r="A4" t="s">
        <v>3</v>
      </c>
      <c r="B4" t="s">
        <v>6</v>
      </c>
      <c r="C4">
        <v>0.96</v>
      </c>
      <c r="J4" s="2">
        <f t="shared" si="0"/>
        <v>0</v>
      </c>
      <c r="M4" s="2">
        <f t="shared" si="1"/>
        <v>0</v>
      </c>
      <c r="N4" s="2">
        <f t="shared" si="2"/>
        <v>0</v>
      </c>
      <c r="O4" s="2" t="e">
        <f t="shared" si="3"/>
        <v>#DIV/0!</v>
      </c>
    </row>
    <row r="5" spans="1:27" x14ac:dyDescent="0.35">
      <c r="A5" t="s">
        <v>7</v>
      </c>
      <c r="B5" t="s">
        <v>8</v>
      </c>
      <c r="C5">
        <v>1.31</v>
      </c>
      <c r="J5" s="2">
        <f t="shared" si="0"/>
        <v>0</v>
      </c>
      <c r="M5" s="2">
        <f t="shared" si="1"/>
        <v>0</v>
      </c>
      <c r="N5" s="2">
        <f t="shared" si="2"/>
        <v>0</v>
      </c>
      <c r="O5" s="2" t="e">
        <f t="shared" si="3"/>
        <v>#DIV/0!</v>
      </c>
    </row>
    <row r="6" spans="1:27" x14ac:dyDescent="0.35">
      <c r="A6" t="s">
        <v>7</v>
      </c>
      <c r="B6" t="s">
        <v>9</v>
      </c>
      <c r="C6">
        <v>1.27</v>
      </c>
      <c r="J6" s="2">
        <f t="shared" si="0"/>
        <v>0</v>
      </c>
      <c r="M6" s="2">
        <f t="shared" si="1"/>
        <v>0</v>
      </c>
      <c r="N6" s="2">
        <f t="shared" si="2"/>
        <v>0</v>
      </c>
      <c r="O6" s="2" t="e">
        <f t="shared" si="3"/>
        <v>#DIV/0!</v>
      </c>
    </row>
    <row r="7" spans="1:27" s="2" customFormat="1" x14ac:dyDescent="0.35">
      <c r="A7" s="2" t="s">
        <v>10</v>
      </c>
      <c r="B7" s="2" t="s">
        <v>11</v>
      </c>
      <c r="C7" s="2">
        <v>1.85</v>
      </c>
      <c r="D7" s="3">
        <v>46028</v>
      </c>
      <c r="E7" s="2">
        <v>2.4714520000000002</v>
      </c>
      <c r="F7" s="2" t="s">
        <v>26</v>
      </c>
      <c r="G7" s="2">
        <v>-1</v>
      </c>
      <c r="H7" s="2">
        <v>2040</v>
      </c>
      <c r="I7" s="2">
        <v>956</v>
      </c>
      <c r="J7" s="2">
        <f t="shared" si="0"/>
        <v>-271.39999999999986</v>
      </c>
      <c r="K7" s="2">
        <v>2021</v>
      </c>
      <c r="L7" s="2">
        <v>944</v>
      </c>
      <c r="M7" s="2">
        <f t="shared" si="1"/>
        <v>-274.59999999999991</v>
      </c>
      <c r="N7" s="2">
        <f t="shared" si="2"/>
        <v>-3.2000000000000455</v>
      </c>
      <c r="O7" s="2">
        <f t="shared" si="3"/>
        <v>1.1790714812085656</v>
      </c>
    </row>
    <row r="8" spans="1:27" x14ac:dyDescent="0.35">
      <c r="A8" t="s">
        <v>10</v>
      </c>
      <c r="B8" t="s">
        <v>11</v>
      </c>
      <c r="C8">
        <v>1.85</v>
      </c>
      <c r="D8" s="1">
        <v>46038</v>
      </c>
      <c r="E8">
        <v>2.3963320000000001</v>
      </c>
      <c r="F8" t="s">
        <v>26</v>
      </c>
      <c r="G8" s="4">
        <v>-1</v>
      </c>
      <c r="H8">
        <v>1995</v>
      </c>
      <c r="I8">
        <v>935.9</v>
      </c>
      <c r="J8" s="2">
        <f t="shared" si="0"/>
        <v>-263.58500000000004</v>
      </c>
      <c r="M8" s="2">
        <f t="shared" si="1"/>
        <v>0</v>
      </c>
      <c r="N8" s="2">
        <f t="shared" si="2"/>
        <v>263.58500000000004</v>
      </c>
      <c r="O8" s="2">
        <f t="shared" si="3"/>
        <v>-100</v>
      </c>
    </row>
    <row r="9" spans="1:27" s="2" customFormat="1" x14ac:dyDescent="0.35">
      <c r="A9" s="2" t="s">
        <v>10</v>
      </c>
      <c r="B9" s="2" t="s">
        <v>12</v>
      </c>
      <c r="C9" s="2">
        <v>2.1800000000000002</v>
      </c>
      <c r="D9" s="3">
        <v>46023</v>
      </c>
      <c r="E9" s="2">
        <v>-2.1929069999999999</v>
      </c>
      <c r="F9" s="2" t="s">
        <v>32</v>
      </c>
      <c r="G9" s="2">
        <v>1</v>
      </c>
      <c r="H9" s="2">
        <v>2030.1</v>
      </c>
      <c r="I9" s="2">
        <v>443.6</v>
      </c>
      <c r="J9" s="2">
        <f t="shared" si="0"/>
        <v>1063.0519999999997</v>
      </c>
      <c r="K9" s="2">
        <v>2012.8</v>
      </c>
      <c r="L9" s="2">
        <v>424</v>
      </c>
      <c r="M9" s="2">
        <f t="shared" si="1"/>
        <v>1088.48</v>
      </c>
      <c r="N9" s="2">
        <f t="shared" si="2"/>
        <v>25.428000000000338</v>
      </c>
      <c r="O9" s="2">
        <f t="shared" si="3"/>
        <v>2.3919808250208217</v>
      </c>
    </row>
    <row r="10" spans="1:27" s="2" customFormat="1" x14ac:dyDescent="0.35">
      <c r="A10" s="2" t="s">
        <v>13</v>
      </c>
      <c r="B10" s="2" t="s">
        <v>11</v>
      </c>
      <c r="C10" s="2">
        <v>2.0299999999999998</v>
      </c>
      <c r="D10" s="3">
        <v>46041</v>
      </c>
      <c r="E10" s="2">
        <v>2.4114420000000001</v>
      </c>
      <c r="F10" s="2" t="s">
        <v>26</v>
      </c>
      <c r="G10" s="2">
        <v>-1</v>
      </c>
      <c r="H10" s="2">
        <v>2017</v>
      </c>
      <c r="I10" s="2">
        <v>929.3</v>
      </c>
      <c r="J10" s="2">
        <f t="shared" si="0"/>
        <v>-130.52100000000019</v>
      </c>
      <c r="M10" s="2">
        <f t="shared" si="1"/>
        <v>0</v>
      </c>
      <c r="N10" s="2">
        <f t="shared" si="2"/>
        <v>130.52100000000019</v>
      </c>
      <c r="O10" s="2">
        <f t="shared" si="3"/>
        <v>-100</v>
      </c>
    </row>
    <row r="11" spans="1:27" x14ac:dyDescent="0.35">
      <c r="A11" t="s">
        <v>13</v>
      </c>
      <c r="B11" t="s">
        <v>12</v>
      </c>
      <c r="C11">
        <v>2.48</v>
      </c>
      <c r="J11" s="2">
        <f t="shared" si="0"/>
        <v>0</v>
      </c>
      <c r="M11" s="2">
        <f t="shared" si="1"/>
        <v>0</v>
      </c>
      <c r="N11" s="2">
        <f t="shared" si="2"/>
        <v>0</v>
      </c>
      <c r="O11" s="2" t="e">
        <f t="shared" si="3"/>
        <v>#DIV/0!</v>
      </c>
    </row>
    <row r="12" spans="1:27" x14ac:dyDescent="0.35">
      <c r="A12" t="s">
        <v>4</v>
      </c>
      <c r="B12" t="s">
        <v>8</v>
      </c>
      <c r="C12">
        <v>0.76</v>
      </c>
      <c r="D12" s="1"/>
      <c r="J12" s="2">
        <f t="shared" si="0"/>
        <v>0</v>
      </c>
      <c r="M12" s="2">
        <f t="shared" si="1"/>
        <v>0</v>
      </c>
      <c r="N12" s="2">
        <f t="shared" si="2"/>
        <v>0</v>
      </c>
      <c r="O12" s="2" t="e">
        <f t="shared" si="3"/>
        <v>#DIV/0!</v>
      </c>
    </row>
    <row r="13" spans="1:27" s="2" customFormat="1" x14ac:dyDescent="0.35">
      <c r="A13" s="2" t="s">
        <v>14</v>
      </c>
      <c r="B13" s="2" t="s">
        <v>15</v>
      </c>
      <c r="C13" s="2">
        <v>0.96</v>
      </c>
      <c r="D13" s="3">
        <v>46030</v>
      </c>
      <c r="E13" s="2">
        <v>-2.1544919999999999</v>
      </c>
      <c r="F13" s="2" t="s">
        <v>32</v>
      </c>
      <c r="G13" s="2">
        <v>1</v>
      </c>
      <c r="H13" s="2">
        <v>1207</v>
      </c>
      <c r="I13" s="2">
        <v>1306.9000000000001</v>
      </c>
      <c r="J13" s="2">
        <f t="shared" si="0"/>
        <v>-47.624000000000024</v>
      </c>
      <c r="M13" s="2">
        <f t="shared" si="1"/>
        <v>0</v>
      </c>
      <c r="N13" s="2">
        <f t="shared" si="2"/>
        <v>47.624000000000024</v>
      </c>
      <c r="O13" s="2">
        <f t="shared" si="3"/>
        <v>-100</v>
      </c>
    </row>
    <row r="14" spans="1:27" x14ac:dyDescent="0.35">
      <c r="A14" t="s">
        <v>14</v>
      </c>
      <c r="B14" t="s">
        <v>16</v>
      </c>
      <c r="C14">
        <v>0.87</v>
      </c>
      <c r="J14" s="2">
        <f t="shared" si="0"/>
        <v>0</v>
      </c>
      <c r="M14" s="2">
        <f t="shared" si="1"/>
        <v>0</v>
      </c>
      <c r="N14" s="2">
        <f t="shared" si="2"/>
        <v>0</v>
      </c>
      <c r="O14" s="2" t="e">
        <f t="shared" si="3"/>
        <v>#DIV/0!</v>
      </c>
    </row>
    <row r="15" spans="1:27" s="2" customFormat="1" x14ac:dyDescent="0.35">
      <c r="A15" s="2" t="s">
        <v>17</v>
      </c>
      <c r="B15" s="2" t="s">
        <v>18</v>
      </c>
      <c r="C15" s="2">
        <v>1.35</v>
      </c>
      <c r="D15" s="3">
        <v>46038</v>
      </c>
      <c r="E15" s="2">
        <v>2.236256</v>
      </c>
      <c r="F15" s="2" t="s">
        <v>26</v>
      </c>
      <c r="G15" s="2">
        <v>-1</v>
      </c>
      <c r="H15" s="2">
        <v>7300</v>
      </c>
      <c r="I15" s="2">
        <v>15859</v>
      </c>
      <c r="J15" s="2">
        <f t="shared" si="0"/>
        <v>14109.650000000001</v>
      </c>
      <c r="K15" s="2">
        <v>7124</v>
      </c>
      <c r="L15" s="2">
        <v>15161</v>
      </c>
      <c r="M15" s="2">
        <f t="shared" si="1"/>
        <v>13343.350000000002</v>
      </c>
      <c r="N15" s="2">
        <f t="shared" si="2"/>
        <v>-766.29999999999927</v>
      </c>
      <c r="O15" s="2">
        <f t="shared" si="3"/>
        <v>-5.4310347882477537</v>
      </c>
    </row>
    <row r="16" spans="1:27" s="2" customFormat="1" x14ac:dyDescent="0.35">
      <c r="A16" s="2" t="s">
        <v>11</v>
      </c>
      <c r="B16" s="2" t="s">
        <v>19</v>
      </c>
      <c r="C16" s="2">
        <v>0.44</v>
      </c>
      <c r="D16" s="3">
        <v>46027</v>
      </c>
      <c r="E16" s="2">
        <v>-2.0688800000000001</v>
      </c>
      <c r="F16" s="2" t="s">
        <v>32</v>
      </c>
      <c r="G16" s="2">
        <v>1</v>
      </c>
      <c r="H16" s="2">
        <v>962.7</v>
      </c>
      <c r="I16" s="2">
        <v>1372</v>
      </c>
      <c r="J16" s="2">
        <f t="shared" si="0"/>
        <v>359.0200000000001</v>
      </c>
      <c r="K16" s="2">
        <v>956</v>
      </c>
      <c r="L16" s="2">
        <v>1408</v>
      </c>
      <c r="M16" s="2">
        <f t="shared" si="1"/>
        <v>336.48</v>
      </c>
      <c r="N16" s="2">
        <f t="shared" si="2"/>
        <v>-22.540000000000077</v>
      </c>
      <c r="O16" s="2">
        <f t="shared" si="3"/>
        <v>-6.2782017714890737</v>
      </c>
    </row>
    <row r="17" spans="1:15" x14ac:dyDescent="0.35">
      <c r="A17" t="s">
        <v>11</v>
      </c>
      <c r="B17" t="s">
        <v>19</v>
      </c>
      <c r="C17">
        <v>0.44</v>
      </c>
      <c r="D17" s="1">
        <v>46038</v>
      </c>
      <c r="E17">
        <v>-2.4867569999999999</v>
      </c>
      <c r="F17" t="s">
        <v>32</v>
      </c>
      <c r="G17">
        <v>1</v>
      </c>
      <c r="H17" s="2">
        <v>935.9</v>
      </c>
      <c r="I17" s="2">
        <v>1399.9</v>
      </c>
      <c r="J17" s="2">
        <f t="shared" si="0"/>
        <v>319.94399999999996</v>
      </c>
      <c r="M17" s="2">
        <f t="shared" si="1"/>
        <v>0</v>
      </c>
      <c r="N17" s="2">
        <f t="shared" si="2"/>
        <v>-319.94399999999996</v>
      </c>
      <c r="O17" s="2">
        <f t="shared" si="3"/>
        <v>-100</v>
      </c>
    </row>
    <row r="18" spans="1:15" s="2" customFormat="1" x14ac:dyDescent="0.35">
      <c r="A18" s="2" t="s">
        <v>11</v>
      </c>
      <c r="B18" s="2" t="s">
        <v>20</v>
      </c>
      <c r="C18" s="2">
        <v>0.62</v>
      </c>
      <c r="D18" s="3">
        <v>46027</v>
      </c>
      <c r="E18" s="2">
        <v>-2.0460759999999998</v>
      </c>
      <c r="F18" s="2" t="s">
        <v>32</v>
      </c>
      <c r="G18" s="2">
        <v>1</v>
      </c>
      <c r="H18" s="2">
        <v>962.7</v>
      </c>
      <c r="I18" s="2">
        <v>2064</v>
      </c>
      <c r="J18" s="2">
        <f t="shared" si="0"/>
        <v>-316.98</v>
      </c>
      <c r="M18" s="2">
        <f t="shared" si="1"/>
        <v>0</v>
      </c>
      <c r="N18" s="2">
        <f t="shared" si="2"/>
        <v>316.98</v>
      </c>
      <c r="O18" s="2">
        <f t="shared" si="3"/>
        <v>-100</v>
      </c>
    </row>
    <row r="19" spans="1:15" x14ac:dyDescent="0.35">
      <c r="A19" t="s">
        <v>11</v>
      </c>
      <c r="B19" t="s">
        <v>21</v>
      </c>
      <c r="C19">
        <v>0.52</v>
      </c>
      <c r="J19" s="2">
        <f t="shared" si="0"/>
        <v>0</v>
      </c>
      <c r="M19" s="2">
        <f t="shared" si="1"/>
        <v>0</v>
      </c>
      <c r="N19" s="2">
        <f t="shared" si="2"/>
        <v>0</v>
      </c>
      <c r="O19" s="2" t="e">
        <f t="shared" si="3"/>
        <v>#DIV/0!</v>
      </c>
    </row>
    <row r="20" spans="1:15" x14ac:dyDescent="0.35">
      <c r="A20" t="s">
        <v>6</v>
      </c>
      <c r="B20" t="s">
        <v>22</v>
      </c>
      <c r="C20">
        <v>0.9</v>
      </c>
      <c r="J20" s="2">
        <f t="shared" si="0"/>
        <v>0</v>
      </c>
      <c r="M20" s="2">
        <f t="shared" si="1"/>
        <v>0</v>
      </c>
      <c r="N20" s="2">
        <f t="shared" si="2"/>
        <v>0</v>
      </c>
      <c r="O20" s="2" t="e">
        <f t="shared" si="3"/>
        <v>#DIV/0!</v>
      </c>
    </row>
    <row r="21" spans="1:15" s="2" customFormat="1" x14ac:dyDescent="0.35">
      <c r="A21" s="2" t="s">
        <v>12</v>
      </c>
      <c r="B21" s="2" t="s">
        <v>15</v>
      </c>
      <c r="C21" s="2">
        <v>0.46</v>
      </c>
      <c r="D21" s="3">
        <v>46049</v>
      </c>
      <c r="E21" s="2">
        <v>-2.3925079999999999</v>
      </c>
      <c r="F21" s="2" t="s">
        <v>32</v>
      </c>
      <c r="G21" s="2">
        <v>1</v>
      </c>
      <c r="H21" s="2">
        <v>409.3</v>
      </c>
      <c r="I21" s="2">
        <v>1297.2</v>
      </c>
      <c r="J21" s="2">
        <f t="shared" si="0"/>
        <v>-187.41200000000009</v>
      </c>
      <c r="M21" s="2">
        <f t="shared" si="1"/>
        <v>0</v>
      </c>
      <c r="N21" s="2">
        <f t="shared" si="2"/>
        <v>187.41200000000009</v>
      </c>
      <c r="O21" s="2">
        <f t="shared" si="3"/>
        <v>-100</v>
      </c>
    </row>
    <row r="22" spans="1:15" x14ac:dyDescent="0.35">
      <c r="A22" t="s">
        <v>12</v>
      </c>
      <c r="B22" t="s">
        <v>20</v>
      </c>
      <c r="C22">
        <v>0.46</v>
      </c>
      <c r="J22" s="2">
        <f t="shared" si="0"/>
        <v>0</v>
      </c>
      <c r="M22" s="2">
        <f t="shared" si="1"/>
        <v>0</v>
      </c>
      <c r="N22" s="2">
        <f t="shared" si="2"/>
        <v>0</v>
      </c>
      <c r="O22" s="2" t="e">
        <f t="shared" si="3"/>
        <v>#DIV/0!</v>
      </c>
    </row>
    <row r="23" spans="1:15" x14ac:dyDescent="0.35">
      <c r="A23" t="s">
        <v>20</v>
      </c>
      <c r="B23" t="s">
        <v>9</v>
      </c>
      <c r="C23">
        <v>0.62</v>
      </c>
      <c r="J23" s="2">
        <f t="shared" si="0"/>
        <v>0</v>
      </c>
      <c r="M23" s="2">
        <f t="shared" si="1"/>
        <v>0</v>
      </c>
      <c r="N23" s="2">
        <f t="shared" si="2"/>
        <v>0</v>
      </c>
      <c r="O23" s="2" t="e">
        <f t="shared" si="3"/>
        <v>#DIV/0!</v>
      </c>
    </row>
    <row r="24" spans="1:15" x14ac:dyDescent="0.35">
      <c r="J24" s="2">
        <f t="shared" si="0"/>
        <v>0</v>
      </c>
      <c r="M24" s="2">
        <f t="shared" si="1"/>
        <v>0</v>
      </c>
      <c r="N24" s="2">
        <f t="shared" si="2"/>
        <v>0</v>
      </c>
      <c r="O24" s="2" t="e">
        <f t="shared" si="3"/>
        <v>#DIV/0!</v>
      </c>
    </row>
    <row r="25" spans="1:15" x14ac:dyDescent="0.35">
      <c r="J25" s="2">
        <f t="shared" si="0"/>
        <v>0</v>
      </c>
      <c r="M25" s="2">
        <f t="shared" si="1"/>
        <v>0</v>
      </c>
      <c r="N25" s="2">
        <f t="shared" si="2"/>
        <v>0</v>
      </c>
      <c r="O25" s="2" t="e">
        <f t="shared" si="3"/>
        <v>#DIV/0!</v>
      </c>
    </row>
    <row r="26" spans="1:15" x14ac:dyDescent="0.35">
      <c r="J26" s="2">
        <f t="shared" si="0"/>
        <v>0</v>
      </c>
      <c r="M26" s="2">
        <f t="shared" si="1"/>
        <v>0</v>
      </c>
      <c r="N26" s="2">
        <f t="shared" si="2"/>
        <v>0</v>
      </c>
      <c r="O26" s="2" t="e">
        <f t="shared" si="3"/>
        <v>#DIV/0!</v>
      </c>
    </row>
    <row r="27" spans="1:15" x14ac:dyDescent="0.35">
      <c r="J27" s="2">
        <f t="shared" si="0"/>
        <v>0</v>
      </c>
      <c r="M27" s="2">
        <f t="shared" si="1"/>
        <v>0</v>
      </c>
      <c r="N27" s="2">
        <f t="shared" si="2"/>
        <v>0</v>
      </c>
      <c r="O27" s="2" t="e">
        <f t="shared" si="3"/>
        <v>#DIV/0!</v>
      </c>
    </row>
    <row r="28" spans="1:15" x14ac:dyDescent="0.35">
      <c r="J28" s="2">
        <f t="shared" si="0"/>
        <v>0</v>
      </c>
      <c r="M28" s="2">
        <f t="shared" si="1"/>
        <v>0</v>
      </c>
      <c r="N28" s="2">
        <f t="shared" si="2"/>
        <v>0</v>
      </c>
      <c r="O28" s="2" t="e">
        <f t="shared" si="3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2026-01-26T11:17:47Z</dcterms:created>
  <dcterms:modified xsi:type="dcterms:W3CDTF">2026-01-28T06:23:33Z</dcterms:modified>
</cp:coreProperties>
</file>